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C7DC90BA41AD44589C475F89ED8ADFED" descr="core_image_url__exec_download_153249677"/>
        <xdr:cNvPicPr/>
      </xdr:nvPicPr>
      <xdr:blipFill>
        <a:blip r:embed="rId1"/>
        <a:stretch>
          <a:fillRect/>
        </a:stretch>
      </xdr:blipFill>
      <xdr:spPr>
        <a:xfrm>
          <a:off x="0" y="0"/>
          <a:ext cx="6583680" cy="2462530"/>
        </a:xfrm>
        <a:prstGeom prst="rect">
          <a:avLst/>
        </a:prstGeom>
      </xdr:spPr>
    </xdr:pic>
  </etc:cellImage>
  <etc:cellImage>
    <xdr:pic>
      <xdr:nvPicPr>
        <xdr:cNvPr id="4" name="ID_F6B476AC608C41F78D3AA7F6A166D980" descr="core_image_url__exec_download_2433339364"/>
        <xdr:cNvPicPr/>
      </xdr:nvPicPr>
      <xdr:blipFill>
        <a:blip r:embed="rId2"/>
        <a:stretch>
          <a:fillRect/>
        </a:stretch>
      </xdr:blipFill>
      <xdr:spPr>
        <a:xfrm>
          <a:off x="0" y="0"/>
          <a:ext cx="4760595" cy="1365250"/>
        </a:xfrm>
        <a:prstGeom prst="rect">
          <a:avLst/>
        </a:prstGeom>
      </xdr:spPr>
    </xdr:pic>
  </etc:cellImage>
  <etc:cellImage>
    <xdr:pic>
      <xdr:nvPicPr>
        <xdr:cNvPr id="2" name="ID_729D328A889E4B1F8E1E1596CD8698DD" descr="core_image_url__exec_download_1535479574"/>
        <xdr:cNvPicPr/>
      </xdr:nvPicPr>
      <xdr:blipFill>
        <a:blip r:embed="rId3"/>
        <a:stretch>
          <a:fillRect/>
        </a:stretch>
      </xdr:blipFill>
      <xdr:spPr>
        <a:xfrm>
          <a:off x="0" y="0"/>
          <a:ext cx="5273040" cy="2242820"/>
        </a:xfrm>
        <a:prstGeom prst="rect">
          <a:avLst/>
        </a:prstGeom>
      </xdr:spPr>
    </xdr:pic>
  </etc:cellImage>
  <etc:cellImage>
    <xdr:pic>
      <xdr:nvPicPr>
        <xdr:cNvPr id="3" name="ID_B958EF8E63804AF9911408A93A7759F9" descr="core_image_url__exec_download_3309978148"/>
        <xdr:cNvPicPr/>
      </xdr:nvPicPr>
      <xdr:blipFill>
        <a:blip r:embed="rId4"/>
        <a:stretch>
          <a:fillRect/>
        </a:stretch>
      </xdr:blipFill>
      <xdr:spPr>
        <a:xfrm>
          <a:off x="0" y="0"/>
          <a:ext cx="4498340" cy="16459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<sst xmlns="http://schemas.openxmlformats.org/spreadsheetml/2006/main" count="113" uniqueCount="108">
  <si>
    <t>流程</t>
  </si>
  <si>
    <t>可能会用上</t>
  </si>
  <si>
    <t xml:space="preserve"> 防守web靶机</t>
  </si>
  <si>
    <t>1改靶机密码</t>
  </si>
  <si>
    <t xml:space="preserve">passwd 
HLdf@2731    </t>
  </si>
  <si>
    <t xml:space="preserve">HLdf@2731  </t>
  </si>
  <si>
    <t>2 备份，改密码</t>
  </si>
  <si>
    <t>（1）备份靶机网站目录/var/www/html或者/app</t>
  </si>
  <si>
    <t>（3）恢复备份mysql（需要登入mysql数据库）</t>
  </si>
  <si>
    <t>（4）恢复备份网站</t>
  </si>
  <si>
    <r>
      <t>tar -zcvf backup.tar.gz  </t>
    </r>
    <r>
      <rPr>
        <sz val="10"/>
        <color rgb="FFFF0000"/>
        <rFont val="微软雅黑"/>
        <charset val="134"/>
      </rPr>
      <t>directory_to_compress</t>
    </r>
  </si>
  <si>
    <t>1.登录：mysql -uroot -p</t>
  </si>
  <si>
    <t>tar -xzvf backup.tar.gz -C /var/www/html</t>
  </si>
  <si>
    <t>（2）备份数据库</t>
  </si>
  <si>
    <r>
      <t xml:space="preserve">2.source  </t>
    </r>
    <r>
      <rPr>
        <sz val="10"/>
        <color rgb="FFFF0000"/>
        <rFont val="微软雅黑"/>
        <charset val="134"/>
      </rPr>
      <t>/tmp/db.sql</t>
    </r>
    <r>
      <rPr>
        <sz val="10"/>
        <color rgb="FF000000"/>
        <rFont val="微软雅黑"/>
        <charset val="134"/>
      </rPr>
      <t>;</t>
    </r>
  </si>
  <si>
    <r>
      <t xml:space="preserve">mysqldump -uroot -p密码 --all-databases --skip-lock-tables &gt; </t>
    </r>
    <r>
      <rPr>
        <sz val="10"/>
        <color rgb="FFFF0000"/>
        <rFont val="微软雅黑"/>
        <charset val="134"/>
      </rPr>
      <t>/tmp/db.sql</t>
    </r>
  </si>
  <si>
    <t>（3）备份进程（截图）</t>
  </si>
  <si>
    <t xml:space="preserve">ps -ef </t>
  </si>
  <si>
    <t>（3） 找mysql密码，改mysql密码</t>
  </si>
  <si>
    <t>使用代码审计工具找到mysql和后台密码</t>
  </si>
  <si>
    <t>mysql -uroot -p</t>
  </si>
  <si>
    <t>show databases;</t>
  </si>
  <si>
    <t>use mysql(表名称);</t>
  </si>
  <si>
    <r>
      <t>set password for root</t>
    </r>
    <r>
      <rPr>
        <sz val="10"/>
        <color rgb="FFFF0000"/>
        <rFont val="微软雅黑"/>
        <charset val="134"/>
      </rPr>
      <t xml:space="preserve">@localhost </t>
    </r>
    <r>
      <rPr>
        <sz val="10"/>
        <color rgb="FF000000"/>
        <rFont val="微软雅黑"/>
        <charset val="134"/>
      </rPr>
      <t>= password('</t>
    </r>
    <r>
      <rPr>
        <sz val="10"/>
        <color rgb="FFFF0000"/>
        <rFont val="微软雅黑"/>
        <charset val="134"/>
      </rPr>
      <t>123</t>
    </r>
    <r>
      <rPr>
        <sz val="10"/>
        <color rgb="FF000000"/>
        <rFont val="微软雅黑"/>
        <charset val="134"/>
      </rPr>
      <t>');</t>
    </r>
  </si>
  <si>
    <t>@localhost 有时候不用加</t>
  </si>
  <si>
    <t>flush privileges;</t>
  </si>
  <si>
    <t xml:space="preserve">修改数据库密码后要同步修改网站的config.php
cd /var/www/html
vi config.php
</t>
  </si>
  <si>
    <t>（4） 找网站admin密码，改密码</t>
  </si>
  <si>
    <r>
      <rPr>
        <sz val="10"/>
        <color rgb="FF000000"/>
        <rFont val="微软雅黑"/>
        <charset val="134"/>
      </rPr>
      <t>&gt;use test(网站的表);</t>
    </r>
    <r>
      <rPr>
        <sz val="12"/>
        <color rgb="FF000000"/>
        <rFont val="宋体"/>
        <charset val="134"/>
      </rPr>
      <t xml:space="preserve">    选择库</t>
    </r>
  </si>
  <si>
    <r>
      <rPr>
        <sz val="10"/>
        <color rgb="FF000000"/>
        <rFont val="微软雅黑"/>
        <charset val="134"/>
      </rPr>
      <t>&gt;show tables;</t>
    </r>
    <r>
      <rPr>
        <sz val="12"/>
        <color theme="1"/>
        <rFont val="宋体"/>
        <charset val="134"/>
      </rPr>
      <t xml:space="preserve">  </t>
    </r>
    <r>
      <rPr>
        <sz val="12"/>
        <color theme="1"/>
        <rFont val="宋体"/>
        <charset val="134"/>
      </rPr>
      <t>选择表</t>
    </r>
  </si>
  <si>
    <r>
      <t xml:space="preserve">&gt;desc </t>
    </r>
    <r>
      <rPr>
        <sz val="10"/>
        <color rgb="FFFF0000"/>
        <rFont val="微软雅黑"/>
        <charset val="134"/>
      </rPr>
      <t>admin</t>
    </r>
    <r>
      <rPr>
        <sz val="10"/>
        <color rgb="FF000000"/>
        <rFont val="微软雅黑"/>
        <charset val="134"/>
      </rPr>
      <t>;</t>
    </r>
    <r>
      <rPr>
        <sz val="12"/>
        <color rgb="FF000000"/>
        <rFont val="宋体"/>
        <charset val="134"/>
      </rPr>
      <t xml:space="preserve"> </t>
    </r>
  </si>
  <si>
    <r>
      <t xml:space="preserve">&gt;select * from </t>
    </r>
    <r>
      <rPr>
        <sz val="10"/>
        <color rgb="FFFF0000"/>
        <rFont val="微软雅黑"/>
        <charset val="134"/>
      </rPr>
      <t>admin</t>
    </r>
    <r>
      <rPr>
        <sz val="10"/>
        <color rgb="FF000000"/>
        <rFont val="微软雅黑"/>
        <charset val="134"/>
      </rPr>
      <t>;</t>
    </r>
  </si>
  <si>
    <r>
      <t xml:space="preserve">&gt;update </t>
    </r>
    <r>
      <rPr>
        <sz val="10"/>
        <color rgb="FFFF0000"/>
        <rFont val="微软雅黑"/>
        <charset val="134"/>
      </rPr>
      <t>admin</t>
    </r>
    <r>
      <rPr>
        <sz val="10"/>
        <color rgb="FF000000"/>
        <rFont val="微软雅黑"/>
        <charset val="134"/>
      </rPr>
      <t xml:space="preserve"> set user_pass='xxxx';</t>
    </r>
  </si>
  <si>
    <t>&gt;flush privileges;</t>
  </si>
  <si>
    <t>4 上通防（新的）</t>
  </si>
  <si>
    <t>卸载通防</t>
  </si>
  <si>
    <t>chmod 777 ZZYLG.php</t>
  </si>
  <si>
    <r>
      <t xml:space="preserve">php TZYLY.php --uninstall </t>
    </r>
    <r>
      <rPr>
        <sz val="10"/>
        <color rgb="FFFF0000"/>
        <rFont val="微软雅黑"/>
        <charset val="134"/>
      </rPr>
      <t>/var/www/html</t>
    </r>
  </si>
  <si>
    <r>
      <t xml:space="preserve">php TZYLY.php --install </t>
    </r>
    <r>
      <rPr>
        <sz val="10"/>
        <color rgb="FFFF0000"/>
        <rFont val="微软雅黑"/>
        <charset val="134"/>
      </rPr>
      <t>/var/www/html</t>
    </r>
  </si>
  <si>
    <t>访问http://xxx.php?TZYLY=ui</t>
  </si>
  <si>
    <t>设置密码，打开全部开关</t>
  </si>
  <si>
    <t>5挂检测文件</t>
  </si>
  <si>
    <t>&lt;?php</t>
  </si>
  <si>
    <t xml:space="preserve">    ignore_user_abort(true);</t>
  </si>
  <si>
    <t xml:space="preserve">    set_time_limit(0);</t>
  </si>
  <si>
    <t xml:space="preserve">    while (1){</t>
  </si>
  <si>
    <t xml:space="preserve">        system('find ./ -type f ! \( -name "1.sh" -o -name "xing.php" -o -name "waf.so" -o -name "ZZYLG.php" \) -cmin -0.05 -print;');</t>
  </si>
  <si>
    <t xml:space="preserve">        usleep(0);</t>
  </si>
  <si>
    <t xml:space="preserve">    }</t>
  </si>
  <si>
    <t>?&gt;</t>
  </si>
  <si>
    <t>-0.05=3分钟 指3分钟以内新增文件，可以调大</t>
  </si>
  <si>
    <t>6 杀不死码 php xxx.php</t>
  </si>
  <si>
    <t>杀不死马文件</t>
  </si>
  <si>
    <t>```php</t>
  </si>
  <si>
    <t>ignore_user_abort(true);</t>
  </si>
  <si>
    <t>set_time_limit(0);</t>
  </si>
  <si>
    <t>unlink(__FILE__);</t>
  </si>
  <si>
    <t>$file = '.maple.php';#发现的不死马文件名</t>
  </si>
  <si>
    <t>while (1){</t>
  </si>
  <si>
    <t>    unlink($file);</t>
  </si>
  <si>
    <t>    unlink('.m.php');</t>
  </si>
  <si>
    <t>    unlink('.s.php');</t>
  </si>
  <si>
    <t>    unlink('phmaple.p');</t>
  </si>
  <si>
    <t>    usleep(0);#记住，一定要比不死马更快，但不要太小，如果机子撑不住就gg了</t>
  </si>
  <si>
    <t>}</t>
  </si>
  <si>
    <t>```</t>
  </si>
  <si>
    <t>杀不死马进程</t>
  </si>
  <si>
    <t>ps -aux  找到ssh登录之前的进程apache2 -k start，计入白名单</t>
  </si>
  <si>
    <t>    ignore_user_abort(true);</t>
  </si>
  <si>
    <t>    while (1){</t>
  </si>
  <si>
    <t>        system("kill `ps aux | grep www-data | awk '{print $2}' | grep -v -E '^(2645622|2645623)$'| xargs kill -9`");</t>
  </si>
  <si>
    <t>        system("kill `ps -ef | grep php-fpm | grep -v grep | awk '{print $2}'`");</t>
  </si>
  <si>
    <t>        system("kill `ps -ef | grep httpd | grep -v grep | awk '{print $2}'`");</t>
  </si>
  <si>
    <t>        system("rm -rf  ");</t>
  </si>
  <si>
    <t>        system("echo '&lt;?php?&gt;' &gt; / ");</t>
  </si>
  <si>
    <t>        usleep(0);</t>
  </si>
  <si>
    <t>    }</t>
  </si>
  <si>
    <t>8加固完之后再备份一次</t>
  </si>
  <si>
    <t>7 监控通防流量</t>
  </si>
  <si>
    <t>用于骑马和检查自己靶机上有没有被上马</t>
  </si>
  <si>
    <t>8 解锁</t>
  </si>
  <si>
    <t>自己种个一句话</t>
  </si>
  <si>
    <t>连接</t>
  </si>
  <si>
    <t>用D盾扫描网站</t>
  </si>
  <si>
    <t>使用lovelyres.exe链接靶机进行监控</t>
  </si>
  <si>
    <t>chmod -t /var/www/html</t>
  </si>
  <si>
    <t>漏洞修复，注释掉</t>
  </si>
  <si>
    <t>攻击步骤</t>
  </si>
  <si>
    <t>扫ip</t>
  </si>
  <si>
    <t>#### 改其他人靶机和通防的密码</t>
  </si>
  <si>
    <t>运行ip探测.py，运行前将ownip_c改成自己的c段地址</t>
  </si>
  <si>
    <t>修改保存cookie.py内的网站php名称，运行（一直后台运行）</t>
  </si>
  <si>
    <t>查看success_cookie.txt的结果，作为可以攻击的目标</t>
  </si>
  <si>
    <t>修改关闭通防参数.py内的网站php名称，在攻击web前运行一次</t>
  </si>
  <si>
    <t>#### 利用漏洞植入不死马</t>
  </si>
  <si>
    <t>#### 查看通防的流量</t>
  </si>
  <si>
    <t>用于骑马和检查自己靶机上有没有被上码</t>
  </si>
  <si>
    <t>pwn靶机防御</t>
  </si>
  <si>
    <t>改密码</t>
  </si>
  <si>
    <t>passwd 用户名</t>
  </si>
  <si>
    <t>截图最初进程 ps -aux</t>
  </si>
  <si>
    <t>拉取文件</t>
  </si>
  <si>
    <t>二进制文件 拖到虚拟机/本机</t>
  </si>
  <si>
    <t>上通防</t>
  </si>
  <si>
    <t>python evilPatcher.py ./pwn sandboxs/mini_sandbox.asm</t>
  </si>
  <si>
    <t>mv -f 新文件 旧文件 （直接拖到靶机里）</t>
  </si>
  <si>
    <t>运行新程序</t>
  </si>
  <si>
    <t>.sh文件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</si>
</sst>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宋体"/>
      <charset val="134"/>
    </font>
    <font>
      <sz val="10"/>
      <color rgb="FF417FF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2" borderId="0" xfId="0" applyFont="1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tabSelected="1" workbookViewId="0">
      <selection activeCell="B4" sqref="B4"/>
    </sheetView>
  </sheetViews>
  <sheetFormatPr defaultColWidth="11.3333333333333" defaultRowHeight="19.5" outlineLevelCol="5"/>
  <cols>
    <col min="1" max="1" width="54.1111111111111" style="2" customWidth="1"/>
    <col min="2" max="2" width="46.4444444444444" style="1" customWidth="1"/>
    <col min="3" max="3" width="37.4444444444444" style="1" customWidth="1"/>
    <col min="4" max="16384" width="11.3333333333333" style="1"/>
  </cols>
  <sheetData>
    <row r="1" spans="1:6">
      <c r="A1" s="3" t="s">
        <v>0</v>
      </c>
      <c r="B1" s="4" t="s">
        <v>1</v>
      </c>
      <c r="C1" s="5"/>
      <c r="D1" s="5"/>
      <c r="E1" s="5"/>
      <c r="F1" s="5"/>
    </row>
    <row r="2" spans="1:6">
      <c r="A2" s="6" t="s">
        <v>2</v>
      </c>
    </row>
    <row r="3" spans="1:6">
      <c r="A3" s="6" t="s">
        <v>3</v>
      </c>
    </row>
    <row r="4" ht="119.1" spans="1:6">
      <c r="A4" s="6" t="s">
        <v>4</v>
      </c>
      <c r="B4" s="1" t="str">
        <f>_xlfn.DISPIMG("ID_B958EF8E63804AF9911408A93A7759F9",1)</f>
        <v>=DISPIMG("ID_B958EF8E63804AF9911408A93A7759F9",1)</v>
      </c>
      <c r="E4" s="5" t="s">
        <v>5</v>
      </c>
    </row>
    <row r="6" spans="1:6">
      <c r="A6" s="6" t="s">
        <v>6</v>
      </c>
    </row>
    <row r="7" spans="1:6">
      <c r="A7" s="6" t="s">
        <v>7</v>
      </c>
      <c r="B7" s="6" t="s">
        <v>8</v>
      </c>
      <c r="C7" s="5" t="s">
        <v>9</v>
      </c>
    </row>
    <row r="8" spans="1:6">
      <c r="A8" s="6" t="s">
        <v>10</v>
      </c>
      <c r="B8" s="6" t="s">
        <v>11</v>
      </c>
      <c r="C8" s="5" t="s">
        <v>12</v>
      </c>
    </row>
    <row r="9" ht="27" customHeight="1" spans="1:6">
      <c r="A9" s="6" t="s">
        <v>13</v>
      </c>
      <c r="B9" s="6" t="s">
        <v>14</v>
      </c>
    </row>
    <row r="10" spans="1:6">
      <c r="A10" s="6" t="s">
        <v>15</v>
      </c>
    </row>
    <row r="11" spans="1:6">
      <c r="A11" s="6" t="s">
        <v>16</v>
      </c>
    </row>
    <row r="12" spans="1:6">
      <c r="A12" s="6" t="s">
        <v>17</v>
      </c>
    </row>
    <row r="14" spans="1:6">
      <c r="A14" s="6" t="s">
        <v>18</v>
      </c>
    </row>
    <row r="15" spans="1:6">
      <c r="A15" s="2" t="s">
        <v>19</v>
      </c>
    </row>
    <row r="16" spans="1:6">
      <c r="A16" s="6" t="s">
        <v>20</v>
      </c>
    </row>
    <row r="17" spans="1:2">
      <c r="A17" s="2" t="s">
        <v>21</v>
      </c>
    </row>
    <row r="18" spans="1:2">
      <c r="A18" s="6" t="s">
        <v>22</v>
      </c>
    </row>
    <row r="19" spans="1:2">
      <c r="A19" s="6" t="s">
        <v>23</v>
      </c>
      <c r="B19" s="7" t="s">
        <v>24</v>
      </c>
    </row>
    <row r="20" spans="1:2">
      <c r="A20" s="8" t="s">
        <v>25</v>
      </c>
    </row>
    <row r="21" ht="137.6" spans="1:2">
      <c r="A21" s="6" t="s">
        <v>26</v>
      </c>
      <c r="B21" s="1" t="str">
        <f>_xlfn.DISPIMG("ID_729D328A889E4B1F8E1E1596CD8698DD",1)</f>
        <v>=DISPIMG("ID_729D328A889E4B1F8E1E1596CD8698DD",1)</v>
      </c>
    </row>
    <row r="22" spans="1:2">
      <c r="A22" s="9"/>
    </row>
    <row r="23" spans="1:2">
      <c r="A23" s="6" t="s">
        <v>27</v>
      </c>
    </row>
    <row r="24" spans="1:2">
      <c r="A24" s="6" t="s">
        <v>28</v>
      </c>
    </row>
    <row r="25" spans="1:2">
      <c r="A25" s="6" t="s">
        <v>29</v>
      </c>
    </row>
    <row r="26" spans="1:2">
      <c r="A26" s="6" t="s">
        <v>30</v>
      </c>
    </row>
    <row r="27" spans="1:2">
      <c r="A27" s="6" t="s">
        <v>31</v>
      </c>
    </row>
    <row r="28" spans="1:2">
      <c r="A28" s="6" t="s">
        <v>32</v>
      </c>
    </row>
    <row r="29" spans="1:2">
      <c r="A29" s="10" t="s">
        <v>33</v>
      </c>
    </row>
    <row r="31" spans="1:2">
      <c r="A31" s="6" t="s">
        <v>34</v>
      </c>
      <c r="B31" s="5" t="s">
        <v>35</v>
      </c>
    </row>
    <row r="32" spans="1:2">
      <c r="A32" s="2" t="s">
        <v>36</v>
      </c>
      <c r="B32" s="6" t="s">
        <v>37</v>
      </c>
    </row>
    <row r="33" spans="1:1">
      <c r="A33" s="6" t="s">
        <v>38</v>
      </c>
    </row>
    <row r="34" spans="1:1">
      <c r="A34" s="6" t="s">
        <v>39</v>
      </c>
    </row>
    <row r="35" spans="1:1">
      <c r="A35" s="6" t="s">
        <v>40</v>
      </c>
    </row>
    <row r="37" spans="1:1">
      <c r="A37" s="11" t="s">
        <v>41</v>
      </c>
    </row>
    <row r="38" spans="1:1">
      <c r="A38" s="11" t="s">
        <v>42</v>
      </c>
    </row>
    <row r="39" spans="1:1">
      <c r="A39" s="11" t="s">
        <v>43</v>
      </c>
    </row>
    <row r="40" spans="1:1">
      <c r="A40" s="11" t="s">
        <v>44</v>
      </c>
    </row>
    <row r="41" spans="1:1">
      <c r="A41" s="11"/>
    </row>
    <row r="42" spans="1:1">
      <c r="A42" s="11" t="s">
        <v>45</v>
      </c>
    </row>
    <row r="43" ht="36" spans="1:1">
      <c r="A43" s="11" t="s">
        <v>46</v>
      </c>
    </row>
    <row r="44" spans="1:1">
      <c r="A44" s="11" t="s">
        <v>47</v>
      </c>
    </row>
    <row r="45" spans="1:1">
      <c r="A45" s="11" t="s">
        <v>48</v>
      </c>
    </row>
    <row r="46" spans="1:1">
      <c r="A46" s="11" t="s">
        <v>49</v>
      </c>
    </row>
    <row r="47" spans="1:1">
      <c r="A47" s="14" t="s">
        <v>50</v>
      </c>
    </row>
    <row r="48" spans="1:1">
      <c r="A48" s="11"/>
    </row>
    <row r="49" spans="1:1">
      <c r="A49" s="6"/>
    </row>
    <row r="50" spans="1:1">
      <c r="A50" s="11" t="s">
        <v>51</v>
      </c>
    </row>
    <row r="51" spans="1:1">
      <c r="A51" s="6" t="s">
        <v>52</v>
      </c>
    </row>
    <row r="52" spans="1:1">
      <c r="A52" s="2" t="s">
        <v>53</v>
      </c>
    </row>
    <row r="53" spans="1:1">
      <c r="A53" s="2" t="s">
        <v>42</v>
      </c>
    </row>
    <row r="54" spans="1:1">
      <c r="A54" s="2" t="s">
        <v>54</v>
      </c>
    </row>
    <row r="55" spans="1:1">
      <c r="A55" s="2" t="s">
        <v>55</v>
      </c>
    </row>
    <row r="56" spans="1:1">
      <c r="A56" s="2" t="s">
        <v>56</v>
      </c>
    </row>
    <row r="57" spans="1:1">
      <c r="A57" s="2" t="s">
        <v>57</v>
      </c>
    </row>
    <row r="58" spans="1:1">
      <c r="A58" s="2" t="s">
        <v>58</v>
      </c>
    </row>
    <row r="59" spans="1:1">
      <c r="A59" s="2" t="s">
        <v>59</v>
      </c>
    </row>
    <row r="60" spans="1:1">
      <c r="A60" s="2" t="s">
        <v>60</v>
      </c>
    </row>
    <row r="61" spans="1:1">
      <c r="A61" s="2" t="s">
        <v>61</v>
      </c>
    </row>
    <row r="62" spans="1:1">
      <c r="A62" s="2" t="s">
        <v>62</v>
      </c>
    </row>
    <row r="63" spans="1:1">
      <c r="A63" s="2" t="s">
        <v>63</v>
      </c>
    </row>
    <row r="64" spans="1:1">
      <c r="A64" s="2" t="s">
        <v>64</v>
      </c>
    </row>
    <row r="65" spans="1:2">
      <c r="A65" s="2" t="s">
        <v>49</v>
      </c>
    </row>
    <row r="66" spans="1:2">
      <c r="A66" s="2" t="s">
        <v>65</v>
      </c>
    </row>
    <row r="67" s="1" customFormat="1" spans="1:2">
      <c r="A67" s="11" t="s">
        <v>66</v>
      </c>
      <c r="B67" s="5" t="s">
        <v>67</v>
      </c>
    </row>
    <row r="68" spans="1:2">
      <c r="A68" s="2" t="s">
        <v>53</v>
      </c>
    </row>
    <row r="69" spans="1:2">
      <c r="A69" s="2" t="s">
        <v>42</v>
      </c>
    </row>
    <row r="70" ht="94.5" spans="1:2">
      <c r="A70" s="2" t="s">
        <v>68</v>
      </c>
      <c r="B70" s="1" t="str">
        <f>_xlfn.DISPIMG("ID_F6B476AC608C41F78D3AA7F6A166D980",1)</f>
        <v>=DISPIMG("ID_F6B476AC608C41F78D3AA7F6A166D980",1)</v>
      </c>
    </row>
    <row r="71" spans="1:2">
      <c r="A71" s="2" t="s">
        <v>69</v>
      </c>
    </row>
    <row r="72" ht="36" spans="1:2">
      <c r="A72" s="2" t="s">
        <v>70</v>
      </c>
    </row>
    <row r="73" spans="1:2">
      <c r="A73" s="2" t="s">
        <v>71</v>
      </c>
    </row>
    <row r="74" spans="1:2">
      <c r="A74" s="2" t="s">
        <v>72</v>
      </c>
    </row>
    <row r="75" spans="1:2">
      <c r="A75" s="6" t="s">
        <v>73</v>
      </c>
    </row>
    <row r="76" spans="1:2">
      <c r="A76" s="2" t="s">
        <v>74</v>
      </c>
    </row>
    <row r="77" spans="1:2">
      <c r="A77" s="2" t="s">
        <v>75</v>
      </c>
    </row>
    <row r="78" spans="1:2">
      <c r="A78" s="2" t="s">
        <v>76</v>
      </c>
    </row>
    <row r="79" spans="1:2">
      <c r="A79" s="2" t="s">
        <v>65</v>
      </c>
    </row>
    <row r="81" spans="1:3">
      <c r="A81" s="6" t="s">
        <v>77</v>
      </c>
    </row>
    <row r="82" spans="1:3">
      <c r="A82" s="6"/>
    </row>
    <row r="83" spans="1:3">
      <c r="A83" s="6" t="s">
        <v>78</v>
      </c>
    </row>
    <row r="84" spans="1:3">
      <c r="A84" s="6" t="s">
        <v>79</v>
      </c>
    </row>
    <row r="86" spans="1:3">
      <c r="A86" s="6" t="s">
        <v>80</v>
      </c>
    </row>
    <row r="87" spans="1:3">
      <c r="A87" s="2" t="s">
        <v>81</v>
      </c>
    </row>
    <row r="88" spans="1:3">
      <c r="A88" s="12" t="s">
        <v>82</v>
      </c>
      <c r="B88" s="6" t="s">
        <v>83</v>
      </c>
      <c r="C88" s="5" t="s">
        <v>84</v>
      </c>
    </row>
    <row r="89" spans="1:3">
      <c r="A89" s="12" t="s">
        <v>85</v>
      </c>
      <c r="B89" s="6" t="s">
        <v>86</v>
      </c>
    </row>
    <row r="90" ht="121.65" spans="1:3">
      <c r="B90" s="1" t="str">
        <f>_xlfn.DISPIMG("ID_C7DC90BA41AD44589C475F89ED8ADFED",1)</f>
        <v>=DISPIMG("ID_C7DC90BA41AD44589C475F89ED8ADFED",1)</v>
      </c>
    </row>
    <row r="91" spans="1:3">
      <c r="A91" s="6" t="s">
        <v>87</v>
      </c>
    </row>
    <row r="92" spans="1:3">
      <c r="A92" s="6" t="s">
        <v>88</v>
      </c>
    </row>
    <row r="93" spans="1:3">
      <c r="A93" s="2" t="s">
        <v>89</v>
      </c>
    </row>
    <row r="94" spans="1:3">
      <c r="A94" s="13" t="s">
        <v>90</v>
      </c>
    </row>
    <row r="95" spans="1:3">
      <c r="A95" s="13" t="s">
        <v>91</v>
      </c>
    </row>
    <row r="96" spans="1:3">
      <c r="A96" s="13" t="s">
        <v>92</v>
      </c>
    </row>
    <row r="97" spans="1:2">
      <c r="A97" s="13" t="s">
        <v>93</v>
      </c>
    </row>
    <row r="98" spans="1:2">
      <c r="A98" s="6"/>
    </row>
    <row r="99" spans="1:2">
      <c r="A99" s="2" t="s">
        <v>94</v>
      </c>
    </row>
    <row r="100" spans="1:2">
      <c r="A100" s="2" t="s">
        <v>95</v>
      </c>
    </row>
    <row r="101" spans="1:2">
      <c r="A101" s="2" t="s">
        <v>96</v>
      </c>
    </row>
    <row r="103" spans="1:2">
      <c r="A103" s="6" t="s">
        <v>97</v>
      </c>
    </row>
    <row r="104" spans="1:2">
      <c r="A104" s="2" t="s">
        <v>98</v>
      </c>
    </row>
    <row r="105" spans="1:2">
      <c r="A105" s="6" t="s">
        <v>99</v>
      </c>
      <c r="B105" s="5" t="s">
        <v>100</v>
      </c>
    </row>
    <row r="106" spans="1:2">
      <c r="A106" s="2" t="s">
        <v>101</v>
      </c>
      <c r="B106" s="5" t="s">
        <v>102</v>
      </c>
    </row>
    <row r="107" spans="1:2">
      <c r="A107" s="2" t="s">
        <v>103</v>
      </c>
    </row>
    <row r="108" spans="1:2">
      <c r="A108" s="6" t="s">
        <v>104</v>
      </c>
    </row>
    <row r="109" spans="1:2">
      <c r="A109" s="6" t="s">
        <v>105</v>
      </c>
    </row>
    <row r="110" spans="1:2">
      <c r="A110" s="6" t="s">
        <v>106</v>
      </c>
      <c r="B110" s="5" t="s">
        <v>107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A34">
          <hypersublink pos="2" length="23" display="http://xxx.php?TZYLY=ui" address="http://xxx.php?TZYLY=ui" subaddress="" screenTip="" linkrunstype="LRTURL"/>
        </hyperlink>
        <hyperlink ref="A95">
          <hypersublink pos="4" length="9" display="cookie.py" address="https://cookie.py" subaddress="" screenTip="" linkrunstype="LRTURL"/>
        </hyperlink>
        <hyperlink ref="A108">
          <hypersublink pos="7" length="14" display="evilPatcher.py" address="https://evilPatcher.py" subaddress="" screenTip="" linkrunstype="LRTURL"/>
        </hyperlink>
      </hyperlinks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2026-06-29T11:31:43Z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BEDC69D3F5F08CCF1FE7416A6721C9BB_41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